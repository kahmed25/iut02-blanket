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hedahmed/Documents/DEVOPSIS/IUT02/"/>
    </mc:Choice>
  </mc:AlternateContent>
  <xr:revisionPtr revIDLastSave="0" documentId="13_ncr:1_{E442E113-8EA5-7B44-9EBB-7BFF10919DA4}" xr6:coauthVersionLast="47" xr6:coauthVersionMax="47" xr10:uidLastSave="{00000000-0000-0000-0000-000000000000}"/>
  <bookViews>
    <workbookView xWindow="0" yWindow="500" windowWidth="37400" windowHeight="24200" activeTab="1" xr2:uid="{413A79BD-2020-48AB-9723-5CE44ED34D47}"/>
  </bookViews>
  <sheets>
    <sheet name="Collection List" sheetId="1" r:id="rId1"/>
    <sheet name="Collection Graph" sheetId="3" r:id="rId2"/>
    <sheet name="Total Collection Summary" sheetId="2" r:id="rId3"/>
  </sheets>
  <definedNames>
    <definedName name="_xlchart.v2.0" hidden="1">'Total Collection Summary'!$K$2</definedName>
    <definedName name="_xlchart.v2.1" hidden="1">'Total Collection Summary'!$L$2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I2" i="2"/>
  <c r="L3" i="2"/>
  <c r="L2" i="2"/>
  <c r="H3" i="2"/>
  <c r="H2" i="2"/>
  <c r="B10" i="2"/>
  <c r="E18" i="1" l="1"/>
  <c r="E20" i="1" s="1"/>
  <c r="E11" i="1" l="1"/>
</calcChain>
</file>

<file path=xl/sharedStrings.xml><?xml version="1.0" encoding="utf-8"?>
<sst xmlns="http://schemas.openxmlformats.org/spreadsheetml/2006/main" count="52" uniqueCount="40">
  <si>
    <t>i.02 Winter Blanket Distribution 2026</t>
  </si>
  <si>
    <t>SN</t>
  </si>
  <si>
    <t>Name</t>
  </si>
  <si>
    <t>Payment Mode</t>
  </si>
  <si>
    <t>Amount (BDT)</t>
  </si>
  <si>
    <t>Total Collection (BDT)</t>
  </si>
  <si>
    <t>Mahfuz</t>
  </si>
  <si>
    <t>Bkash</t>
  </si>
  <si>
    <t>Ashiq</t>
  </si>
  <si>
    <t>Self</t>
  </si>
  <si>
    <t>Tanim</t>
  </si>
  <si>
    <t>SCB</t>
  </si>
  <si>
    <t>Rayhan</t>
  </si>
  <si>
    <t>Muhammad</t>
  </si>
  <si>
    <t>Rahat bhai (Tanif Ref)</t>
  </si>
  <si>
    <t>Omaer</t>
  </si>
  <si>
    <t>Dodul</t>
  </si>
  <si>
    <t>Tanvir</t>
  </si>
  <si>
    <t xml:space="preserve">BDT Till Jan 9, 2026 Collection </t>
  </si>
  <si>
    <t>Adnan</t>
  </si>
  <si>
    <t>Shishir</t>
  </si>
  <si>
    <t>Nagad</t>
  </si>
  <si>
    <t>Hasnain</t>
  </si>
  <si>
    <t>Zakiul</t>
  </si>
  <si>
    <t>Self distribution to Khulna</t>
  </si>
  <si>
    <t>Name mention Private</t>
  </si>
  <si>
    <t>Arman</t>
  </si>
  <si>
    <t>Rahi</t>
  </si>
  <si>
    <t>BDT Till Jan 10, 2026 Total Collection</t>
  </si>
  <si>
    <t>Today total 56 pc distributed @330.00 Tk/pc</t>
  </si>
  <si>
    <t>Rest Amount in my hand</t>
  </si>
  <si>
    <t>Expense</t>
  </si>
  <si>
    <t>Collection Today</t>
  </si>
  <si>
    <t>Number for Blanket</t>
  </si>
  <si>
    <t>Target</t>
  </si>
  <si>
    <t>Total Collection</t>
  </si>
  <si>
    <t>Percentage</t>
  </si>
  <si>
    <t>Amount Handed Over</t>
  </si>
  <si>
    <t>Required Blanket</t>
  </si>
  <si>
    <t>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</si>
</sst>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2" borderId="0" xfId="0" applyFont="1" applyFill="1"/>
    <xf numFmtId="4" fontId="0" fillId="0" borderId="0" xfId="0" applyNumberFormat="1"/>
    <xf numFmtId="4" fontId="1" fillId="0" borderId="0" xfId="0" applyNumberFormat="1" applyFont="1"/>
    <xf numFmtId="0" fontId="0" fillId="4" borderId="0" xfId="0" applyFill="1"/>
    <xf numFmtId="0" fontId="3" fillId="2" borderId="3" xfId="0" applyFont="1" applyFill="1" applyBorder="1"/>
    <xf numFmtId="4" fontId="0" fillId="4" borderId="0" xfId="0" applyNumberFormat="1" applyFill="1"/>
    <xf numFmtId="165" fontId="0" fillId="0" borderId="0" xfId="1" applyNumberFormat="1" applyFont="1"/>
    <xf numFmtId="10" fontId="0" fillId="0" borderId="0" xfId="2" applyNumberFormat="1" applyFont="1"/>
    <xf numFmtId="3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Collection Summary'!$G$2:$G$3</c:f>
              <c:strCache>
                <c:ptCount val="2"/>
                <c:pt idx="0">
                  <c:v>Total Collection</c:v>
                </c:pt>
                <c:pt idx="1">
                  <c:v>Collection Today</c:v>
                </c:pt>
              </c:strCache>
            </c:strRef>
          </c:cat>
          <c:val>
            <c:numRef>
              <c:f>'Total Collection Summary'!$H$2:$H$3</c:f>
              <c:numCache>
                <c:formatCode>_-* #,##0_-;\-* #,##0_-;_-* "-"??_-;_-@_-</c:formatCode>
                <c:ptCount val="2"/>
                <c:pt idx="0">
                  <c:v>63075.479999999996</c:v>
                </c:pt>
                <c:pt idx="1">
                  <c:v>27442.23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D-46A9-BC82-9059D7448F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0809120"/>
        <c:axId val="950814880"/>
      </c:barChart>
      <c:catAx>
        <c:axId val="9508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814880"/>
        <c:crosses val="autoZero"/>
        <c:auto val="1"/>
        <c:lblAlgn val="ctr"/>
        <c:lblOffset val="100"/>
        <c:noMultiLvlLbl val="0"/>
      </c:catAx>
      <c:valAx>
        <c:axId val="9508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80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Targer</a:t>
            </a:r>
            <a:r>
              <a:rPr lang="en-AU" baseline="0"/>
              <a:t> Vs  Achieved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A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Collection Summary'!$G$1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'Total Collection Summary'!$H$1</c:f>
              <c:numCache>
                <c:formatCode>_-* #,##0_-;\-* #,##0_-;_-* "-"??_-;_-@_-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F-40C6-86A6-752D84D7B5D5}"/>
            </c:ext>
          </c:extLst>
        </c:ser>
        <c:ser>
          <c:idx val="1"/>
          <c:order val="1"/>
          <c:tx>
            <c:strRef>
              <c:f>'Total Collection Summary'!$G$2</c:f>
              <c:strCache>
                <c:ptCount val="1"/>
                <c:pt idx="0">
                  <c:v>Total Collection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'Total Collection Summary'!$H$2</c:f>
              <c:numCache>
                <c:formatCode>_-* #,##0_-;\-* #,##0_-;_-* "-"??_-;_-@_-</c:formatCode>
                <c:ptCount val="1"/>
                <c:pt idx="0">
                  <c:v>63075.479999999996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F-40C6-86A6-752D84D7B5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78005952"/>
        <c:axId val="178005472"/>
      </c:barChart>
      <c:catAx>
        <c:axId val="1780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5472"/>
        <c:crosses val="autoZero"/>
        <c:auto val="1"/>
        <c:lblAlgn val="ctr"/>
        <c:lblOffset val="100"/>
        <c:noMultiLvlLbl val="0"/>
      </c:catAx>
      <c:valAx>
        <c:axId val="1780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059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'Total Collection Summary'!$K$3</c:f>
              <c:strCache>
                <c:ptCount val="1"/>
                <c:pt idx="0">
                  <c:v>Number for Blanket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'Total Collection Summary'!$L$3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D-4232-91E4-CB0428BE8972}"/>
            </c:ext>
          </c:extLst>
        </c:ser>
        <c:ser>
          <c:idx val="1"/>
          <c:order val="1"/>
          <c:tx>
            <c:strRef>
              <c:f>'Total Collection Summary'!$K$4</c:f>
              <c:strCache>
                <c:ptCount val="1"/>
                <c:pt idx="0">
                  <c:v>Required Blanket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'Total Collection Summary'!$L$4</c:f>
              <c:numCache>
                <c:formatCode>_-* #,##0_-;\-* #,##0_-;_-* "-"??_-;_-@_-</c:formatCode>
                <c:ptCount val="1"/>
                <c:pt idx="0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D-4232-91E4-CB0428BE89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47228352"/>
        <c:axId val="247228832"/>
      </c:barChart>
      <c:catAx>
        <c:axId val="247228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228832"/>
        <c:crosses val="autoZero"/>
        <c:auto val="1"/>
        <c:lblAlgn val="ctr"/>
        <c:lblOffset val="100"/>
        <c:noMultiLvlLbl val="0"/>
      </c:catAx>
      <c:valAx>
        <c:axId val="24722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2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_xlchart.v2.1</cx:f>
      </cx:numDim>
    </cx:data>
  </cx:chartData>
  <cx:chart>
    <cx:title pos="t" align="ctr" overlay="0">
      <cx:tx>
        <cx:txData>
          <cx:v>Amount Handed Over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Amount Handed Over</a:t>
          </a:r>
        </a:p>
      </cx:txPr>
    </cx:title>
    <cx:plotArea>
      <cx:plotAreaRegion>
        <cx:series layoutId="funnel" uniqueId="{704E1DE3-02FE-4F76-997B-D1DC256D29A6}">
          <cx:tx>
            <cx:txData>
              <cx:f>_xlchart.v2.0</cx:f>
              <cx:v>Amount Handed Over</cx:v>
            </cx:txData>
          </cx:tx>
          <cx:dataLabels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6600"/>
                  </a:pPr>
                  <a:r>
                    <a:rPr lang="en-US" sz="6600" b="0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18,480</a:t>
                  </a:r>
                </a:p>
              </cx:txPr>
            </cx:dataLabel>
          </cx:dataLabels>
          <cx:dataId val="0"/>
        </cx:series>
      </cx:plotAreaRegion>
      <cx:axis id="0" hidden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74629A-1715-4301-A813-9C51F98CD31B}">
  <sheetPr/>
  <sheetViews>
    <sheetView tabSelected="1" zoomScale="191" workbookViewId="0" zoomToFit="1"/>
  </sheetViews>
  <pageMargins left="0.7" right="0.7" top="0.75" bottom="0.75" header="0.3" footer="0.3"/>
  <headerFooter>
    <oddFooter>&amp;C_x000D_&amp;1#&amp;"Aptos"&amp;10&amp;K000000 Rivian Internal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576" cy="62835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A0B87-4BE7-2D5C-6488-66C8A60483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4</xdr:row>
      <xdr:rowOff>19050</xdr:rowOff>
    </xdr:from>
    <xdr:to>
      <xdr:col>10</xdr:col>
      <xdr:colOff>358140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E6D460-03EA-171E-8D49-66E4579A4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11</xdr:row>
      <xdr:rowOff>133350</xdr:rowOff>
    </xdr:from>
    <xdr:to>
      <xdr:col>17</xdr:col>
      <xdr:colOff>144780</xdr:colOff>
      <xdr:row>26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FFA90F9-900E-4554-15F6-4811996F8E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6240" y="2228850"/>
              <a:ext cx="509524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114300</xdr:colOff>
      <xdr:row>18</xdr:row>
      <xdr:rowOff>80010</xdr:rowOff>
    </xdr:from>
    <xdr:to>
      <xdr:col>10</xdr:col>
      <xdr:colOff>381000</xdr:colOff>
      <xdr:row>36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3DFE63-5ECF-DE8E-EC17-8BFA0DD3D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1794-A00B-4214-8023-CD62B5ACD9EA}">
  <dimension ref="A1:G33"/>
  <sheetViews>
    <sheetView topLeftCell="B1" workbookViewId="0">
      <selection activeCell="B20" sqref="B20"/>
    </sheetView>
  </sheetViews>
  <sheetFormatPr baseColWidth="10" defaultColWidth="8.83203125" defaultRowHeight="15" x14ac:dyDescent="0.2"/>
  <cols>
    <col min="1" max="1" width="4.6640625" customWidth="1"/>
    <col min="2" max="2" width="20.1640625" customWidth="1"/>
    <col min="3" max="3" width="21.83203125" customWidth="1"/>
    <col min="4" max="4" width="19.33203125" customWidth="1"/>
    <col min="5" max="5" width="20.6640625" customWidth="1"/>
    <col min="6" max="6" width="25.83203125" customWidth="1"/>
    <col min="7" max="7" width="20.1640625" customWidth="1"/>
    <col min="8" max="8" width="16.1640625" customWidth="1"/>
  </cols>
  <sheetData>
    <row r="1" spans="1:7" ht="21" x14ac:dyDescent="0.25">
      <c r="A1" s="13" t="s">
        <v>0</v>
      </c>
      <c r="B1" s="13"/>
      <c r="C1" s="13"/>
      <c r="D1" s="13"/>
      <c r="E1" s="13"/>
      <c r="F1" s="14"/>
    </row>
    <row r="2" spans="1:7" ht="16" x14ac:dyDescent="0.2">
      <c r="A2" s="3" t="s">
        <v>1</v>
      </c>
      <c r="B2" s="2" t="s">
        <v>2</v>
      </c>
      <c r="C2" s="2" t="s">
        <v>3</v>
      </c>
      <c r="D2" s="2" t="s">
        <v>4</v>
      </c>
      <c r="E2" s="7" t="s">
        <v>5</v>
      </c>
    </row>
    <row r="3" spans="1:7" x14ac:dyDescent="0.2">
      <c r="A3">
        <v>1</v>
      </c>
      <c r="B3" t="s">
        <v>6</v>
      </c>
      <c r="C3" t="s">
        <v>7</v>
      </c>
      <c r="D3" s="4">
        <v>2000</v>
      </c>
    </row>
    <row r="4" spans="1:7" x14ac:dyDescent="0.2">
      <c r="A4">
        <v>2</v>
      </c>
      <c r="B4" t="s">
        <v>8</v>
      </c>
      <c r="C4" t="s">
        <v>9</v>
      </c>
      <c r="D4" s="4">
        <v>2000</v>
      </c>
    </row>
    <row r="5" spans="1:7" x14ac:dyDescent="0.2">
      <c r="A5">
        <v>3</v>
      </c>
      <c r="B5" t="s">
        <v>10</v>
      </c>
      <c r="C5" t="s">
        <v>11</v>
      </c>
      <c r="D5" s="4">
        <v>2000</v>
      </c>
    </row>
    <row r="6" spans="1:7" x14ac:dyDescent="0.2">
      <c r="A6">
        <v>4</v>
      </c>
      <c r="B6" t="s">
        <v>12</v>
      </c>
      <c r="C6" t="s">
        <v>7</v>
      </c>
      <c r="D6" s="4">
        <v>4000</v>
      </c>
    </row>
    <row r="7" spans="1:7" x14ac:dyDescent="0.2">
      <c r="A7">
        <v>5</v>
      </c>
      <c r="B7" t="s">
        <v>13</v>
      </c>
      <c r="C7" t="s">
        <v>7</v>
      </c>
      <c r="D7" s="4">
        <v>4000</v>
      </c>
    </row>
    <row r="8" spans="1:7" x14ac:dyDescent="0.2">
      <c r="A8">
        <v>6</v>
      </c>
      <c r="B8" t="s">
        <v>14</v>
      </c>
      <c r="C8" t="s">
        <v>7</v>
      </c>
      <c r="D8" s="4">
        <v>5092</v>
      </c>
    </row>
    <row r="9" spans="1:7" x14ac:dyDescent="0.2">
      <c r="A9">
        <v>7</v>
      </c>
      <c r="B9" t="s">
        <v>15</v>
      </c>
      <c r="C9" t="s">
        <v>7</v>
      </c>
      <c r="D9" s="4">
        <v>5215</v>
      </c>
    </row>
    <row r="10" spans="1:7" x14ac:dyDescent="0.2">
      <c r="A10">
        <v>8</v>
      </c>
      <c r="B10" t="s">
        <v>16</v>
      </c>
      <c r="C10" t="s">
        <v>7</v>
      </c>
      <c r="D10" s="4">
        <v>6201.25</v>
      </c>
    </row>
    <row r="11" spans="1:7" x14ac:dyDescent="0.2">
      <c r="A11">
        <v>9</v>
      </c>
      <c r="B11" t="s">
        <v>17</v>
      </c>
      <c r="C11" t="s">
        <v>7</v>
      </c>
      <c r="D11" s="4">
        <v>5125</v>
      </c>
      <c r="E11" s="1">
        <f>SUM(D3:D11)</f>
        <v>35633.25</v>
      </c>
      <c r="F11" s="15" t="s">
        <v>18</v>
      </c>
      <c r="G11" s="15"/>
    </row>
    <row r="12" spans="1:7" x14ac:dyDescent="0.2">
      <c r="A12">
        <v>10</v>
      </c>
      <c r="B12" t="s">
        <v>19</v>
      </c>
      <c r="C12" t="s">
        <v>7</v>
      </c>
      <c r="D12" s="4">
        <v>4393.7299999999996</v>
      </c>
    </row>
    <row r="13" spans="1:7" x14ac:dyDescent="0.2">
      <c r="A13">
        <v>11</v>
      </c>
      <c r="B13" t="s">
        <v>20</v>
      </c>
      <c r="C13" t="s">
        <v>21</v>
      </c>
      <c r="D13" s="4">
        <v>5125</v>
      </c>
    </row>
    <row r="14" spans="1:7" x14ac:dyDescent="0.2">
      <c r="A14">
        <v>12</v>
      </c>
      <c r="B14" t="s">
        <v>22</v>
      </c>
      <c r="C14" t="s">
        <v>7</v>
      </c>
      <c r="D14" s="4">
        <v>5000</v>
      </c>
    </row>
    <row r="15" spans="1:7" x14ac:dyDescent="0.2">
      <c r="A15">
        <v>13</v>
      </c>
      <c r="B15" t="s">
        <v>23</v>
      </c>
      <c r="C15" t="s">
        <v>24</v>
      </c>
      <c r="D15" s="4">
        <v>5280</v>
      </c>
    </row>
    <row r="16" spans="1:7" x14ac:dyDescent="0.2">
      <c r="A16">
        <v>14</v>
      </c>
      <c r="B16" t="s">
        <v>25</v>
      </c>
      <c r="C16" t="s">
        <v>7</v>
      </c>
      <c r="D16" s="4">
        <v>5125</v>
      </c>
    </row>
    <row r="17" spans="1:7" x14ac:dyDescent="0.2">
      <c r="A17">
        <v>15</v>
      </c>
      <c r="B17" t="s">
        <v>26</v>
      </c>
      <c r="C17" t="s">
        <v>7</v>
      </c>
      <c r="D17" s="4">
        <v>1018.5</v>
      </c>
    </row>
    <row r="18" spans="1:7" x14ac:dyDescent="0.2">
      <c r="A18">
        <v>16</v>
      </c>
      <c r="B18" t="s">
        <v>27</v>
      </c>
      <c r="C18" t="s">
        <v>7</v>
      </c>
      <c r="D18" s="4">
        <v>1500</v>
      </c>
      <c r="E18" s="5">
        <f>SUM(D3:D18)</f>
        <v>63075.479999999996</v>
      </c>
      <c r="F18" s="15" t="s">
        <v>28</v>
      </c>
      <c r="G18" s="15"/>
    </row>
    <row r="19" spans="1:7" x14ac:dyDescent="0.2">
      <c r="A19">
        <v>17</v>
      </c>
      <c r="B19" t="s">
        <v>39</v>
      </c>
      <c r="C19" t="s">
        <v>7</v>
      </c>
      <c r="D19" s="4">
        <v>1300</v>
      </c>
      <c r="E19" s="5">
        <v>18480</v>
      </c>
      <c r="F19" s="16" t="s">
        <v>29</v>
      </c>
      <c r="G19" s="16"/>
    </row>
    <row r="20" spans="1:7" x14ac:dyDescent="0.2">
      <c r="A20">
        <v>18</v>
      </c>
      <c r="D20" s="4"/>
      <c r="E20" s="8">
        <f>E18-E19</f>
        <v>44595.479999999996</v>
      </c>
      <c r="F20" s="6" t="s">
        <v>30</v>
      </c>
    </row>
    <row r="21" spans="1:7" x14ac:dyDescent="0.2">
      <c r="A21">
        <v>19</v>
      </c>
      <c r="D21" s="4"/>
      <c r="E21" s="4"/>
    </row>
    <row r="22" spans="1:7" x14ac:dyDescent="0.2">
      <c r="A22">
        <v>20</v>
      </c>
      <c r="D22" s="4"/>
      <c r="E22" s="4"/>
    </row>
    <row r="23" spans="1:7" x14ac:dyDescent="0.2">
      <c r="A23">
        <v>21</v>
      </c>
      <c r="D23" s="4"/>
      <c r="E23" s="4"/>
    </row>
    <row r="24" spans="1:7" x14ac:dyDescent="0.2">
      <c r="A24">
        <v>22</v>
      </c>
      <c r="D24" s="4"/>
      <c r="E24" s="4"/>
    </row>
    <row r="25" spans="1:7" x14ac:dyDescent="0.2">
      <c r="A25">
        <v>23</v>
      </c>
      <c r="D25" s="4"/>
      <c r="E25" s="4"/>
    </row>
    <row r="26" spans="1:7" x14ac:dyDescent="0.2">
      <c r="A26">
        <v>24</v>
      </c>
      <c r="D26" s="4"/>
      <c r="E26" s="4"/>
    </row>
    <row r="27" spans="1:7" x14ac:dyDescent="0.2">
      <c r="A27">
        <v>25</v>
      </c>
      <c r="D27" s="4"/>
      <c r="E27" s="4"/>
    </row>
    <row r="28" spans="1:7" x14ac:dyDescent="0.2">
      <c r="A28">
        <v>26</v>
      </c>
      <c r="E28" s="4"/>
    </row>
    <row r="29" spans="1:7" x14ac:dyDescent="0.2">
      <c r="A29">
        <v>27</v>
      </c>
      <c r="E29" s="4"/>
    </row>
    <row r="30" spans="1:7" x14ac:dyDescent="0.2">
      <c r="A30">
        <v>28</v>
      </c>
      <c r="E30" s="4"/>
    </row>
    <row r="31" spans="1:7" x14ac:dyDescent="0.2">
      <c r="A31">
        <v>29</v>
      </c>
    </row>
    <row r="32" spans="1:7" x14ac:dyDescent="0.2">
      <c r="A32">
        <v>30</v>
      </c>
    </row>
    <row r="33" spans="1:1" x14ac:dyDescent="0.2">
      <c r="A33">
        <v>31</v>
      </c>
    </row>
  </sheetData>
  <mergeCells count="4">
    <mergeCell ref="A1:F1"/>
    <mergeCell ref="F11:G11"/>
    <mergeCell ref="F18:G18"/>
    <mergeCell ref="F19:G19"/>
  </mergeCells>
  <pageMargins left="0.7" right="0.7" top="0.75" bottom="0.75" header="0.3" footer="0.3"/>
  <pageSetup orientation="portrait" r:id="rId1"/>
  <headerFooter>
    <oddFooter>&amp;C_x000D_&amp;1#&amp;"Aptos"&amp;10&amp;K000000 Rivian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FBE-11C4-4178-AD97-D5ED9146D84F}">
  <dimension ref="B1:L10"/>
  <sheetViews>
    <sheetView workbookViewId="0">
      <selection activeCell="L31" sqref="L31"/>
    </sheetView>
  </sheetViews>
  <sheetFormatPr baseColWidth="10" defaultColWidth="8.83203125" defaultRowHeight="15" x14ac:dyDescent="0.2"/>
  <cols>
    <col min="7" max="7" width="16.5" bestFit="1" customWidth="1"/>
    <col min="8" max="8" width="11.33203125" bestFit="1" customWidth="1"/>
    <col min="11" max="11" width="18.6640625" bestFit="1" customWidth="1"/>
  </cols>
  <sheetData>
    <row r="1" spans="2:12" x14ac:dyDescent="0.2">
      <c r="G1" s="1" t="s">
        <v>34</v>
      </c>
      <c r="H1" s="9">
        <v>100000</v>
      </c>
      <c r="I1" t="s">
        <v>36</v>
      </c>
      <c r="K1" t="s">
        <v>31</v>
      </c>
      <c r="L1" s="4"/>
    </row>
    <row r="2" spans="2:12" x14ac:dyDescent="0.2">
      <c r="G2" s="1" t="s">
        <v>35</v>
      </c>
      <c r="H2" s="9">
        <f>SUM('Collection List'!D3:D18)</f>
        <v>63075.479999999996</v>
      </c>
      <c r="I2" s="10">
        <f>H2/H1</f>
        <v>0.63075479999999995</v>
      </c>
      <c r="K2" t="s">
        <v>37</v>
      </c>
      <c r="L2" s="11">
        <f>'Collection List'!E19</f>
        <v>18480</v>
      </c>
    </row>
    <row r="3" spans="2:12" x14ac:dyDescent="0.2">
      <c r="G3" s="1" t="s">
        <v>32</v>
      </c>
      <c r="H3" s="9">
        <f>SUM('Collection List'!D12:D18)</f>
        <v>27442.23</v>
      </c>
      <c r="K3" t="s">
        <v>33</v>
      </c>
      <c r="L3">
        <f>L2/330</f>
        <v>56</v>
      </c>
    </row>
    <row r="4" spans="2:12" x14ac:dyDescent="0.2">
      <c r="K4" t="s">
        <v>38</v>
      </c>
      <c r="L4" s="12">
        <f>ROUNDDOWN(H1/330,0)</f>
        <v>303</v>
      </c>
    </row>
    <row r="5" spans="2:12" x14ac:dyDescent="0.2">
      <c r="B5">
        <v>10500</v>
      </c>
    </row>
    <row r="6" spans="2:12" x14ac:dyDescent="0.2">
      <c r="B6">
        <v>11737.29</v>
      </c>
    </row>
    <row r="7" spans="2:12" x14ac:dyDescent="0.2">
      <c r="B7">
        <v>5125</v>
      </c>
    </row>
    <row r="8" spans="2:12" x14ac:dyDescent="0.2">
      <c r="B8">
        <v>13217</v>
      </c>
    </row>
    <row r="9" spans="2:12" x14ac:dyDescent="0.2">
      <c r="B9">
        <v>4000</v>
      </c>
    </row>
    <row r="10" spans="2:12" x14ac:dyDescent="0.2">
      <c r="B10" s="1">
        <f>SUM(B5:B9)</f>
        <v>44579.29</v>
      </c>
    </row>
  </sheetData>
  <pageMargins left="0.7" right="0.7" top="0.75" bottom="0.75" header="0.3" footer="0.3"/>
  <headerFooter>
    <oddFooter>&amp;C_x000D_&amp;1#&amp;"Aptos"&amp;10&amp;K000000 Rivian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Collection List</vt:lpstr>
      <vt:lpstr>Total Collection Summary</vt:lpstr>
      <vt:lpstr>Collection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Rashed Ahmed</cp:lastModifiedBy>
  <cp:revision/>
  <dcterms:created xsi:type="dcterms:W3CDTF">2026-01-09T13:15:04Z</dcterms:created>
  <dcterms:modified xsi:type="dcterms:W3CDTF">2026-01-13T03:32:19Z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3adba3-c72e-4489-9774-1214dbe325cf_Enabled">
    <vt:lpwstr>true</vt:lpwstr>
  </property>
  <property fmtid="{D5CDD505-2E9C-101B-9397-08002B2CF9AE}" pid="3" name="MSIP_Label_5a3adba3-c72e-4489-9774-1214dbe325cf_SetDate">
    <vt:lpwstr>2026-01-13T03:28:42Z</vt:lpwstr>
  </property>
  <property fmtid="{D5CDD505-2E9C-101B-9397-08002B2CF9AE}" pid="4" name="MSIP_Label_5a3adba3-c72e-4489-9774-1214dbe325cf_Method">
    <vt:lpwstr>Standard</vt:lpwstr>
  </property>
  <property fmtid="{D5CDD505-2E9C-101B-9397-08002B2CF9AE}" pid="5" name="MSIP_Label_5a3adba3-c72e-4489-9774-1214dbe325cf_Name">
    <vt:lpwstr>Internal_Parent_Label</vt:lpwstr>
  </property>
  <property fmtid="{D5CDD505-2E9C-101B-9397-08002B2CF9AE}" pid="6" name="MSIP_Label_5a3adba3-c72e-4489-9774-1214dbe325cf_SiteId">
    <vt:lpwstr>f798cb4f-b8b7-45f7-ad25-1ff5f130070a</vt:lpwstr>
  </property>
  <property fmtid="{D5CDD505-2E9C-101B-9397-08002B2CF9AE}" pid="7" name="MSIP_Label_5a3adba3-c72e-4489-9774-1214dbe325cf_ActionId">
    <vt:lpwstr>81da0eb6-f299-4218-b4c5-a31da1d6df2a</vt:lpwstr>
  </property>
  <property fmtid="{D5CDD505-2E9C-101B-9397-08002B2CF9AE}" pid="8" name="MSIP_Label_5a3adba3-c72e-4489-9774-1214dbe325cf_ContentBits">
    <vt:lpwstr>2</vt:lpwstr>
  </property>
  <property fmtid="{D5CDD505-2E9C-101B-9397-08002B2CF9AE}" pid="9" name="MSIP_Label_5a3adba3-c72e-4489-9774-1214dbe325cf_Tag">
    <vt:lpwstr>50, 3, 0, 1</vt:lpwstr>
  </property>
</Properties>
</file>